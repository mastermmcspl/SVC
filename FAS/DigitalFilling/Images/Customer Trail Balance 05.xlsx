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11" i="1"/>
  <c r="F7"/>
  <c r="G10"/>
  <c r="B26"/>
  <c r="C26"/>
  <c r="D26"/>
  <c r="E26"/>
  <c r="F26"/>
  <c r="G4"/>
  <c r="G25"/>
  <c r="G24"/>
  <c r="G23"/>
  <c r="G22"/>
  <c r="G21"/>
  <c r="G20"/>
  <c r="G19"/>
  <c r="G18"/>
  <c r="G17"/>
  <c r="G16"/>
  <c r="G15"/>
  <c r="G14"/>
  <c r="G13"/>
  <c r="G12"/>
  <c r="G26"/>
  <c r="G9"/>
  <c r="F8"/>
  <c r="G6"/>
  <c r="G5"/>
</calcChain>
</file>

<file path=xl/sharedStrings.xml><?xml version="1.0" encoding="utf-8"?>
<sst xmlns="http://schemas.openxmlformats.org/spreadsheetml/2006/main" count="38" uniqueCount="29">
  <si>
    <t>Sub GL</t>
  </si>
  <si>
    <t>Opening Balance</t>
  </si>
  <si>
    <t>Transaction</t>
  </si>
  <si>
    <t>Closing Balance</t>
  </si>
  <si>
    <t>Amount</t>
  </si>
  <si>
    <t>DR</t>
  </si>
  <si>
    <t>CR</t>
  </si>
  <si>
    <t>Anitha  Fixed Capital</t>
  </si>
  <si>
    <t>Bharath  Fixed Capital</t>
  </si>
  <si>
    <t>Anitha current capital</t>
  </si>
  <si>
    <t>Bharath current capital</t>
  </si>
  <si>
    <t>Drawings</t>
  </si>
  <si>
    <t>Depreciation reserve</t>
  </si>
  <si>
    <t>Securites premium account</t>
  </si>
  <si>
    <t>Capital redemption reserves</t>
  </si>
  <si>
    <t>Debenture redemption reserves</t>
  </si>
  <si>
    <t>Capital reserve A</t>
  </si>
  <si>
    <t>other reserve</t>
  </si>
  <si>
    <t xml:space="preserve">Profit and Loss </t>
  </si>
  <si>
    <t>Kotak bank</t>
  </si>
  <si>
    <t>yes bank</t>
  </si>
  <si>
    <t>canara bank</t>
  </si>
  <si>
    <t>karnataka bank loan</t>
  </si>
  <si>
    <t>Mr.A loan</t>
  </si>
  <si>
    <t>Mr B.Loan</t>
  </si>
  <si>
    <t>Mr.C Loan</t>
  </si>
  <si>
    <t>Mr.D loan</t>
  </si>
  <si>
    <t>Mr.E loan</t>
  </si>
  <si>
    <t>Mr.F loan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</si>
</sst>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164" fontId="2" fillId="0" borderId="1" xfId="1" applyFont="1" applyBorder="1" applyAlignment="1"/>
    <xf numFmtId="0" fontId="2" fillId="0" borderId="1" xfId="0" applyFont="1" applyBorder="1" applyAlignment="1">
      <alignment wrapText="1"/>
    </xf>
    <xf numFmtId="164" fontId="0" fillId="0" borderId="0" xfId="0" applyNumberFormat="1"/>
    <xf numFmtId="43" fontId="0" fillId="0" borderId="0" xfId="0" applyNumberFormat="1"/>
  </cellXfs>
  <cellStyles count="2">
    <cellStyle name="Comma 2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>
      <selection activeCell="J33" sqref="J33"/>
    </sheetView>
  </sheetViews>
  <sheetFormatPr defaultRowHeight="15"/>
  <cols>
    <col min="1" max="1" width="31.42578125" customWidth="1"/>
    <col min="2" max="3" width="12.5703125" bestFit="1" customWidth="1"/>
    <col min="4" max="4" width="13.7109375" bestFit="1" customWidth="1"/>
    <col min="5" max="6" width="12.5703125" bestFit="1" customWidth="1"/>
    <col min="7" max="7" width="13.28515625" bestFit="1" customWidth="1"/>
  </cols>
  <sheetData>
    <row r="1" spans="1: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</row>
    <row r="3" spans="1:7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spans="1:7">
      <c r="A4" s="3" t="s">
        <v>7</v>
      </c>
      <c r="B4" s="4"/>
      <c r="C4" s="4">
        <v>2000000</v>
      </c>
      <c r="D4" s="4"/>
      <c r="E4" s="4">
        <v>500000</v>
      </c>
      <c r="F4" s="4"/>
      <c r="G4" s="4">
        <f>C4+E4-D4</f>
        <v>2500000</v>
      </c>
    </row>
    <row r="5" spans="1:7">
      <c r="A5" s="3" t="s">
        <v>8</v>
      </c>
      <c r="B5" s="4"/>
      <c r="C5" s="4">
        <v>2500000</v>
      </c>
      <c r="D5" s="4"/>
      <c r="E5" s="4">
        <v>400000</v>
      </c>
      <c r="F5" s="4"/>
      <c r="G5" s="4">
        <f t="shared" ref="G5:G15" si="0">C5+E5-D5</f>
        <v>2900000</v>
      </c>
    </row>
    <row r="6" spans="1:7">
      <c r="A6" s="3" t="s">
        <v>9</v>
      </c>
      <c r="B6" s="4"/>
      <c r="C6" s="4">
        <v>680000</v>
      </c>
      <c r="D6" s="4"/>
      <c r="E6" s="4">
        <v>190000</v>
      </c>
      <c r="F6" s="4"/>
      <c r="G6" s="4">
        <f t="shared" si="0"/>
        <v>870000</v>
      </c>
    </row>
    <row r="7" spans="1:7">
      <c r="A7" s="3" t="s">
        <v>10</v>
      </c>
      <c r="B7" s="4">
        <v>250000</v>
      </c>
      <c r="C7" s="4"/>
      <c r="D7" s="4"/>
      <c r="E7" s="4">
        <v>50000</v>
      </c>
      <c r="F7" s="4">
        <f>B7+D7-E7</f>
        <v>200000</v>
      </c>
      <c r="G7" s="4"/>
    </row>
    <row r="8" spans="1:7">
      <c r="A8" s="3" t="s">
        <v>11</v>
      </c>
      <c r="B8" s="4"/>
      <c r="C8" s="4"/>
      <c r="D8" s="4">
        <v>58000</v>
      </c>
      <c r="E8" s="4"/>
      <c r="F8" s="4">
        <f t="shared" ref="F8" si="1">B8+D8-E8</f>
        <v>58000</v>
      </c>
      <c r="G8" s="4"/>
    </row>
    <row r="9" spans="1:7">
      <c r="A9" s="3" t="s">
        <v>12</v>
      </c>
      <c r="B9" s="4"/>
      <c r="C9" s="4">
        <v>42000</v>
      </c>
      <c r="D9" s="4"/>
      <c r="E9" s="4"/>
      <c r="F9" s="4"/>
      <c r="G9" s="4">
        <f t="shared" si="0"/>
        <v>42000</v>
      </c>
    </row>
    <row r="10" spans="1:7">
      <c r="A10" s="5" t="s">
        <v>13</v>
      </c>
      <c r="B10" s="4"/>
      <c r="C10" s="4">
        <v>0</v>
      </c>
      <c r="D10" s="4"/>
      <c r="E10" s="4"/>
      <c r="F10" s="4"/>
      <c r="G10" s="4">
        <f>C10+E10-D10</f>
        <v>0</v>
      </c>
    </row>
    <row r="11" spans="1:7">
      <c r="A11" s="5" t="s">
        <v>14</v>
      </c>
      <c r="B11" s="7"/>
      <c r="C11" s="4">
        <v>0</v>
      </c>
      <c r="D11" s="7">
        <v>8377626</v>
      </c>
      <c r="E11" s="4"/>
      <c r="F11" s="4">
        <f>+D11</f>
        <v>8377626</v>
      </c>
      <c r="G11" s="4"/>
    </row>
    <row r="12" spans="1:7">
      <c r="A12" s="5" t="s">
        <v>15</v>
      </c>
      <c r="B12" s="4"/>
      <c r="C12" s="4">
        <v>0</v>
      </c>
      <c r="D12" s="4"/>
      <c r="E12" s="4"/>
      <c r="F12" s="4"/>
      <c r="G12" s="4">
        <f t="shared" si="0"/>
        <v>0</v>
      </c>
    </row>
    <row r="13" spans="1:7">
      <c r="A13" s="3" t="s">
        <v>16</v>
      </c>
      <c r="B13" s="4"/>
      <c r="C13" s="4">
        <v>50000</v>
      </c>
      <c r="D13" s="4"/>
      <c r="E13" s="4"/>
      <c r="F13" s="4"/>
      <c r="G13" s="4">
        <f t="shared" si="0"/>
        <v>50000</v>
      </c>
    </row>
    <row r="14" spans="1:7">
      <c r="A14" s="3" t="s">
        <v>17</v>
      </c>
      <c r="B14" s="4"/>
      <c r="C14" s="4">
        <v>96000</v>
      </c>
      <c r="D14" s="4"/>
      <c r="E14" s="4"/>
      <c r="F14" s="4"/>
      <c r="G14" s="4">
        <f t="shared" si="0"/>
        <v>96000</v>
      </c>
    </row>
    <row r="15" spans="1:7">
      <c r="A15" s="5" t="s">
        <v>18</v>
      </c>
      <c r="B15" s="4"/>
      <c r="C15" s="4">
        <v>72000</v>
      </c>
      <c r="D15" s="4"/>
      <c r="E15" s="4"/>
      <c r="F15" s="4"/>
      <c r="G15" s="4">
        <f t="shared" si="0"/>
        <v>72000</v>
      </c>
    </row>
    <row r="16" spans="1:7">
      <c r="A16" s="3" t="s">
        <v>19</v>
      </c>
      <c r="B16" s="4"/>
      <c r="C16" s="4">
        <v>892458</v>
      </c>
      <c r="D16" s="4">
        <v>879824</v>
      </c>
      <c r="E16" s="4">
        <v>1028602</v>
      </c>
      <c r="F16" s="4"/>
      <c r="G16" s="4">
        <f>C16+E16-D16</f>
        <v>1041236</v>
      </c>
    </row>
    <row r="17" spans="1:7">
      <c r="A17" s="3" t="s">
        <v>20</v>
      </c>
      <c r="B17" s="4"/>
      <c r="C17" s="4">
        <v>486821</v>
      </c>
      <c r="D17" s="4">
        <v>251864</v>
      </c>
      <c r="E17" s="4">
        <v>256884</v>
      </c>
      <c r="F17" s="4"/>
      <c r="G17" s="4">
        <f t="shared" ref="G17:G25" si="2">C17+E17-D17</f>
        <v>491841</v>
      </c>
    </row>
    <row r="18" spans="1:7">
      <c r="A18" s="3" t="s">
        <v>21</v>
      </c>
      <c r="B18" s="4"/>
      <c r="C18" s="4">
        <v>69832</v>
      </c>
      <c r="D18" s="4">
        <v>258934</v>
      </c>
      <c r="E18" s="4">
        <v>260543</v>
      </c>
      <c r="F18" s="4"/>
      <c r="G18" s="4">
        <f t="shared" si="2"/>
        <v>71441</v>
      </c>
    </row>
    <row r="19" spans="1:7">
      <c r="A19" s="3" t="s">
        <v>22</v>
      </c>
      <c r="B19" s="4"/>
      <c r="C19" s="4">
        <v>25894</v>
      </c>
      <c r="D19" s="4">
        <v>69854</v>
      </c>
      <c r="E19" s="4">
        <v>50068</v>
      </c>
      <c r="F19" s="4"/>
      <c r="G19" s="4">
        <f t="shared" si="2"/>
        <v>6108</v>
      </c>
    </row>
    <row r="20" spans="1:7">
      <c r="A20" s="3" t="s">
        <v>23</v>
      </c>
      <c r="B20" s="4"/>
      <c r="C20" s="4">
        <v>582000</v>
      </c>
      <c r="D20" s="4">
        <v>480000</v>
      </c>
      <c r="E20" s="4">
        <v>0</v>
      </c>
      <c r="F20" s="4"/>
      <c r="G20" s="4">
        <f t="shared" si="2"/>
        <v>102000</v>
      </c>
    </row>
    <row r="21" spans="1:7">
      <c r="A21" s="3" t="s">
        <v>24</v>
      </c>
      <c r="B21" s="4"/>
      <c r="C21" s="4">
        <v>70000</v>
      </c>
      <c r="D21" s="4">
        <v>70000</v>
      </c>
      <c r="E21" s="4">
        <v>90000</v>
      </c>
      <c r="F21" s="4"/>
      <c r="G21" s="4">
        <f t="shared" si="2"/>
        <v>90000</v>
      </c>
    </row>
    <row r="22" spans="1:7">
      <c r="A22" s="3" t="s">
        <v>25</v>
      </c>
      <c r="B22" s="4"/>
      <c r="C22" s="4">
        <v>260000</v>
      </c>
      <c r="D22" s="4">
        <v>100000</v>
      </c>
      <c r="E22" s="4">
        <v>0</v>
      </c>
      <c r="F22" s="4"/>
      <c r="G22" s="4">
        <f t="shared" si="2"/>
        <v>160000</v>
      </c>
    </row>
    <row r="23" spans="1:7">
      <c r="A23" s="3" t="s">
        <v>26</v>
      </c>
      <c r="B23" s="4"/>
      <c r="C23" s="4">
        <v>98000</v>
      </c>
      <c r="D23" s="4">
        <v>50000</v>
      </c>
      <c r="E23" s="4"/>
      <c r="F23" s="4"/>
      <c r="G23" s="4">
        <f t="shared" si="2"/>
        <v>48000</v>
      </c>
    </row>
    <row r="24" spans="1:7">
      <c r="A24" s="3" t="s">
        <v>27</v>
      </c>
      <c r="B24" s="4"/>
      <c r="C24" s="4">
        <v>75000</v>
      </c>
      <c r="D24" s="4">
        <v>25000</v>
      </c>
      <c r="E24" s="4">
        <v>10000</v>
      </c>
      <c r="F24" s="4"/>
      <c r="G24" s="4">
        <f>C24+E24-D24</f>
        <v>60000</v>
      </c>
    </row>
    <row r="25" spans="1:7">
      <c r="A25" s="3" t="s">
        <v>28</v>
      </c>
      <c r="B25" s="4"/>
      <c r="C25" s="4">
        <v>95000</v>
      </c>
      <c r="D25" s="4">
        <v>60000</v>
      </c>
      <c r="E25" s="4"/>
      <c r="F25" s="4"/>
      <c r="G25" s="4">
        <f t="shared" si="2"/>
        <v>35000</v>
      </c>
    </row>
    <row r="26" spans="1:7">
      <c r="B26" s="6">
        <f>SUM(B4:B25)</f>
        <v>250000</v>
      </c>
      <c r="C26" s="6">
        <f>SUM(C4:C25)</f>
        <v>8095005</v>
      </c>
      <c r="D26" s="6">
        <f>SUM(D4:D25)</f>
        <v>10681102</v>
      </c>
      <c r="E26" s="6">
        <f>SUM(E4:E25)</f>
        <v>2836097</v>
      </c>
      <c r="F26" s="6">
        <f>SUM(F4:F25)</f>
        <v>8635626</v>
      </c>
      <c r="G26" s="6">
        <f>SUM(G4:G25)</f>
        <v>8635626</v>
      </c>
    </row>
    <row r="27" spans="1:7">
      <c r="F27" s="6"/>
      <c r="G27" s="6"/>
    </row>
    <row r="29" spans="1:7">
      <c r="G29" s="7"/>
    </row>
    <row r="31" spans="1:7">
      <c r="G31" s="7"/>
    </row>
    <row r="33" spans="7:7">
      <c r="G33" s="7"/>
    </row>
  </sheetData>
  <mergeCells count="4">
    <mergeCell ref="A1:A3"/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Preethika</dc:creator>
  <cp:lastModifiedBy>Preethika</cp:lastModifiedBy>
  <dcterms:created xsi:type="dcterms:W3CDTF">2019-12-07T04:54:18Z</dcterms:created>
  <dcterms:modified xsi:type="dcterms:W3CDTF">2019-12-07T05:13:11Z</dcterms:modified>
</cp:coreProperties>
</file>